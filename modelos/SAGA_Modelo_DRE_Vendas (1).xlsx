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ez\OneDrive\Área de Trabalho\Sàga\"/>
    </mc:Choice>
  </mc:AlternateContent>
  <xr:revisionPtr revIDLastSave="0" documentId="8_{865FB266-910B-4DFF-9688-8583989BA0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as Reorganizado" sheetId="1" r:id="rId1"/>
    <sheet name="Instruco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<sst xmlns="http://schemas.openxmlformats.org/spreadsheetml/2006/main" count="206" uniqueCount="68">
  <si>
    <t>Empresa</t>
  </si>
  <si>
    <t>Data da Venda</t>
  </si>
  <si>
    <t>Marketplace</t>
  </si>
  <si>
    <t>Unidades</t>
  </si>
  <si>
    <t>Receita por Produto</t>
  </si>
  <si>
    <t>Custo</t>
  </si>
  <si>
    <t>Tarifa de venda e impostos</t>
  </si>
  <si>
    <t>Receita por envio</t>
  </si>
  <si>
    <t>Tarifas de Envio</t>
  </si>
  <si>
    <t>Cupom</t>
  </si>
  <si>
    <t>Comissão Afiliado</t>
  </si>
  <si>
    <t>Frete Entrega Direta</t>
  </si>
  <si>
    <t>Total</t>
  </si>
  <si>
    <t>SKU</t>
  </si>
  <si>
    <t>Estado</t>
  </si>
  <si>
    <t>Cancelamentos e Reembolsos</t>
  </si>
  <si>
    <t>Produto</t>
  </si>
  <si>
    <t>Fornecedor</t>
  </si>
  <si>
    <t>Frete Comprador</t>
  </si>
  <si>
    <t>Frete Vendedor</t>
  </si>
  <si>
    <t>MODELO DE PREENCHIMENTO — VENDAS (MULTI-EMPRESA)</t>
  </si>
  <si>
    <t>Preencha uma linha por venda na aba 'Vendas Reorganizado'.</t>
  </si>
  <si>
    <t>Empresa — nome da empresa/loja à qual a venda pertence (obrigatório).</t>
  </si>
  <si>
    <t>Data da Venda — data da venda; o sistema agrupa por mês (AAAA-MM).</t>
  </si>
  <si>
    <t>Receita por Produto — valor bruto do produto (positivo).</t>
  </si>
  <si>
    <t>Custo — custo do produto vendido (positivo).</t>
  </si>
  <si>
    <t>Tarifa de venda e impostos / Comissão Afiliado — tarifas do marketplace (negativos).</t>
  </si>
  <si>
    <t>Receita por envio — frete recebido do comprador (positivo).</t>
  </si>
  <si>
    <t>Tarifas de Envio / Frete Entrega Direta — custo de frete (negativos).</t>
  </si>
  <si>
    <t>Cupom e Cancelamentos e Reembolsos — descontos e estornos (negativos).</t>
  </si>
  <si>
    <t>A coluna 'Total' é calculada e não é usada na montagem do DRE.</t>
  </si>
  <si>
    <t>A carga tributária é informada em % dentro do sistema.</t>
  </si>
  <si>
    <t>GOLDSHOPP</t>
  </si>
  <si>
    <t>28/07/2026</t>
  </si>
  <si>
    <t>Mercado Livre</t>
  </si>
  <si>
    <t>Extra700</t>
  </si>
  <si>
    <t>PE</t>
  </si>
  <si>
    <t>Espremedor Industrial Visalu 3l 700w Inox Extrator Laranja 127/220v 60</t>
  </si>
  <si>
    <t>Extra 500</t>
  </si>
  <si>
    <t>SP</t>
  </si>
  <si>
    <t>Espremedor De Laranja Elétrico 500w Extrator Industrial Inox Prateado 127/220v 60 Hz</t>
  </si>
  <si>
    <t>EXTRA700</t>
  </si>
  <si>
    <t>DF</t>
  </si>
  <si>
    <t>Extrator Industrial De Sucos Elétrico Jarra Inox Com Alça 3l Alumínio Inox 127/220v 60 Hz</t>
  </si>
  <si>
    <t>Forro120</t>
  </si>
  <si>
    <t>RJ</t>
  </si>
  <si>
    <t>Forro Térmico Para Tabua De Passar Roupa Capa Ajustável Cinza 120x45</t>
  </si>
  <si>
    <t>Silicone50</t>
  </si>
  <si>
    <t>Mangueira De Jardim 1/2  Silicone Reforçada Flexível Laranja Laranja - 50m</t>
  </si>
  <si>
    <t>Picador G</t>
  </si>
  <si>
    <t>Cortador De Legumes Palito Grande Tripé Picador Reforçado Preto</t>
  </si>
  <si>
    <t>Cortador De Legumes Palito Grande Tripé Picador Profissional Preto</t>
  </si>
  <si>
    <t>AL</t>
  </si>
  <si>
    <t>Forro140</t>
  </si>
  <si>
    <t>Forro Térmico Para Tabua De Passar Roupa Capa Ajustável Cinza 140x50</t>
  </si>
  <si>
    <t>Chapa</t>
  </si>
  <si>
    <t>BA</t>
  </si>
  <si>
    <t>Chapa Lanche 60x30cm Com Prensa Á Gás - Inox Pratic Metal</t>
  </si>
  <si>
    <t>Forro100</t>
  </si>
  <si>
    <t>Forro Térmico Para Tabua De Passar Roupa Capa Ajustável Cinza 100x35</t>
  </si>
  <si>
    <t>MS</t>
  </si>
  <si>
    <t>MG</t>
  </si>
  <si>
    <t>Extrator De Sucos Laranja Industrial 700w Jarra De 3 Litros Inox 127/220v 60hz</t>
  </si>
  <si>
    <t>27/07/2026</t>
  </si>
  <si>
    <t>RS</t>
  </si>
  <si>
    <t>Extrator De Sucos Industrial 700w Jarra De 3l Com Alça Forte Preto 127/220v 60 Hz</t>
  </si>
  <si>
    <t>Forro110</t>
  </si>
  <si>
    <t>Forro Térmico Para Tabua De Passar Roupa Capa Ajustável Cinza 110x45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</si>
</sst>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>
      <selection activeCell="L15" sqref="L15"/>
    </sheetView>
  </sheetViews>
  <sheetFormatPr defaultRowHeight="15" x14ac:dyDescent="0.25"/>
  <cols>
    <col min="1" max="20" width="16.625" customWidth="1"/>
  </cols>
  <sheetData>
    <row r="1" spans="1:2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75" x14ac:dyDescent="0.25">
      <c r="A2" t="s">
        <v>32</v>
      </c>
      <c r="B2" t="s">
        <v>33</v>
      </c>
      <c r="C2" t="s">
        <v>34</v>
      </c>
      <c r="D2">
        <v>1</v>
      </c>
      <c r="E2">
        <v>291.98</v>
      </c>
      <c r="F2">
        <v>160</v>
      </c>
      <c r="G2">
        <v>-53.58</v>
      </c>
      <c r="H2">
        <v>9.99</v>
      </c>
      <c r="I2">
        <v>-30.75</v>
      </c>
      <c r="J2">
        <v>0</v>
      </c>
      <c r="K2">
        <v>0</v>
      </c>
      <c r="L2">
        <v>0</v>
      </c>
      <c r="M2">
        <f t="shared" ref="M2:M30" si="0">E2+G2+H2+I2+J2+K2+L2+P2</f>
        <v>217.64000000000004</v>
      </c>
      <c r="N2" t="s">
        <v>35</v>
      </c>
      <c r="O2" t="s">
        <v>36</v>
      </c>
      <c r="P2">
        <v>0</v>
      </c>
      <c r="Q2" t="s">
        <v>37</v>
      </c>
      <c r="S2">
        <v>9.99</v>
      </c>
      <c r="T2">
        <v>30.75</v>
      </c>
    </row>
    <row r="3" spans="1:20" ht="15.75" x14ac:dyDescent="0.25">
      <c r="A3" t="s">
        <v>32</v>
      </c>
      <c r="B3" t="s">
        <v>33</v>
      </c>
      <c r="C3" t="s">
        <v>34</v>
      </c>
      <c r="D3">
        <v>1</v>
      </c>
      <c r="E3">
        <v>233.99</v>
      </c>
      <c r="F3">
        <v>134</v>
      </c>
      <c r="G3">
        <v>-39.78</v>
      </c>
      <c r="H3">
        <v>0</v>
      </c>
      <c r="I3">
        <v>-28.35</v>
      </c>
      <c r="J3">
        <v>0</v>
      </c>
      <c r="K3">
        <v>0</v>
      </c>
      <c r="L3">
        <v>0</v>
      </c>
      <c r="M3">
        <f t="shared" si="0"/>
        <v>165.86</v>
      </c>
      <c r="N3" t="s">
        <v>38</v>
      </c>
      <c r="O3" t="s">
        <v>39</v>
      </c>
      <c r="P3">
        <v>0</v>
      </c>
      <c r="Q3" t="s">
        <v>40</v>
      </c>
      <c r="S3">
        <v>0</v>
      </c>
      <c r="T3">
        <v>28.35</v>
      </c>
    </row>
    <row r="4" spans="1:20" ht="15.75" x14ac:dyDescent="0.25">
      <c r="A4" t="s">
        <v>32</v>
      </c>
      <c r="B4" t="s">
        <v>33</v>
      </c>
      <c r="C4" t="s">
        <v>34</v>
      </c>
      <c r="D4">
        <v>1</v>
      </c>
      <c r="E4">
        <v>288.99</v>
      </c>
      <c r="F4">
        <v>160</v>
      </c>
      <c r="G4">
        <v>-50.31</v>
      </c>
      <c r="H4">
        <v>0</v>
      </c>
      <c r="I4">
        <v>-30.75</v>
      </c>
      <c r="J4">
        <v>0</v>
      </c>
      <c r="K4">
        <v>0</v>
      </c>
      <c r="L4">
        <v>0</v>
      </c>
      <c r="M4">
        <f t="shared" si="0"/>
        <v>207.93</v>
      </c>
      <c r="N4" t="s">
        <v>41</v>
      </c>
      <c r="O4" t="s">
        <v>42</v>
      </c>
      <c r="P4">
        <v>0</v>
      </c>
      <c r="Q4" t="s">
        <v>43</v>
      </c>
      <c r="S4">
        <v>0</v>
      </c>
      <c r="T4">
        <v>30.75</v>
      </c>
    </row>
    <row r="5" spans="1:20" ht="15.75" x14ac:dyDescent="0.25">
      <c r="A5" t="s">
        <v>32</v>
      </c>
      <c r="B5" t="s">
        <v>33</v>
      </c>
      <c r="C5" t="s">
        <v>34</v>
      </c>
      <c r="D5">
        <v>1</v>
      </c>
      <c r="E5">
        <v>29.99</v>
      </c>
      <c r="F5">
        <v>13.5</v>
      </c>
      <c r="G5">
        <v>-4.3499999999999996</v>
      </c>
      <c r="H5">
        <v>0</v>
      </c>
      <c r="I5">
        <v>-6.75</v>
      </c>
      <c r="J5">
        <v>0</v>
      </c>
      <c r="K5">
        <v>0</v>
      </c>
      <c r="L5">
        <v>0</v>
      </c>
      <c r="M5">
        <f t="shared" si="0"/>
        <v>18.89</v>
      </c>
      <c r="N5" t="s">
        <v>44</v>
      </c>
      <c r="O5" t="s">
        <v>45</v>
      </c>
      <c r="P5">
        <v>0</v>
      </c>
      <c r="Q5" t="s">
        <v>46</v>
      </c>
      <c r="S5">
        <v>0</v>
      </c>
      <c r="T5">
        <v>6.75</v>
      </c>
    </row>
    <row r="6" spans="1:20" ht="15.75" x14ac:dyDescent="0.25">
      <c r="A6" t="s">
        <v>32</v>
      </c>
      <c r="B6" t="s">
        <v>33</v>
      </c>
      <c r="C6" t="s">
        <v>34</v>
      </c>
      <c r="D6">
        <v>1</v>
      </c>
      <c r="E6">
        <v>169.99</v>
      </c>
      <c r="F6">
        <v>80</v>
      </c>
      <c r="G6">
        <v>-31.45</v>
      </c>
      <c r="H6">
        <v>0</v>
      </c>
      <c r="I6">
        <v>-21.65</v>
      </c>
      <c r="J6">
        <v>0</v>
      </c>
      <c r="K6">
        <v>0</v>
      </c>
      <c r="L6">
        <v>0</v>
      </c>
      <c r="M6">
        <f t="shared" si="0"/>
        <v>116.89000000000001</v>
      </c>
      <c r="N6" t="s">
        <v>47</v>
      </c>
      <c r="O6" t="s">
        <v>39</v>
      </c>
      <c r="P6">
        <v>0</v>
      </c>
      <c r="Q6" t="s">
        <v>48</v>
      </c>
      <c r="S6">
        <v>0</v>
      </c>
      <c r="T6">
        <v>21.65</v>
      </c>
    </row>
    <row r="7" spans="1:20" ht="15.75" x14ac:dyDescent="0.25">
      <c r="A7" t="s">
        <v>32</v>
      </c>
      <c r="B7" t="s">
        <v>33</v>
      </c>
      <c r="C7" t="s">
        <v>34</v>
      </c>
      <c r="D7">
        <v>1</v>
      </c>
      <c r="E7">
        <v>29.99</v>
      </c>
      <c r="F7">
        <v>13.5</v>
      </c>
      <c r="G7">
        <v>-4.3499999999999996</v>
      </c>
      <c r="H7">
        <v>0</v>
      </c>
      <c r="I7">
        <v>-6.75</v>
      </c>
      <c r="J7">
        <v>0</v>
      </c>
      <c r="K7">
        <v>0</v>
      </c>
      <c r="L7">
        <v>0</v>
      </c>
      <c r="M7">
        <f t="shared" si="0"/>
        <v>18.89</v>
      </c>
      <c r="N7" t="s">
        <v>44</v>
      </c>
      <c r="O7" t="s">
        <v>39</v>
      </c>
      <c r="P7">
        <v>0</v>
      </c>
      <c r="Q7" t="s">
        <v>46</v>
      </c>
      <c r="S7">
        <v>0</v>
      </c>
      <c r="T7">
        <v>6.75</v>
      </c>
    </row>
    <row r="8" spans="1:20" ht="15.75" x14ac:dyDescent="0.25">
      <c r="A8" t="s">
        <v>32</v>
      </c>
      <c r="B8" t="s">
        <v>33</v>
      </c>
      <c r="C8" t="s">
        <v>34</v>
      </c>
      <c r="D8">
        <v>1</v>
      </c>
      <c r="E8">
        <v>167.8</v>
      </c>
      <c r="F8">
        <v>88</v>
      </c>
      <c r="G8">
        <v>-15.7</v>
      </c>
      <c r="H8">
        <v>0</v>
      </c>
      <c r="I8">
        <v>-23.65</v>
      </c>
      <c r="J8">
        <v>0</v>
      </c>
      <c r="K8">
        <v>0</v>
      </c>
      <c r="L8">
        <v>0</v>
      </c>
      <c r="M8">
        <f t="shared" si="0"/>
        <v>128.45000000000002</v>
      </c>
      <c r="N8" t="s">
        <v>49</v>
      </c>
      <c r="O8" t="s">
        <v>39</v>
      </c>
      <c r="P8">
        <v>0</v>
      </c>
      <c r="Q8" t="s">
        <v>50</v>
      </c>
      <c r="S8">
        <v>0</v>
      </c>
      <c r="T8">
        <v>23.65</v>
      </c>
    </row>
    <row r="9" spans="1:20" ht="15.75" x14ac:dyDescent="0.25">
      <c r="A9" t="s">
        <v>32</v>
      </c>
      <c r="B9" t="s">
        <v>33</v>
      </c>
      <c r="C9" t="s">
        <v>34</v>
      </c>
      <c r="D9">
        <v>1</v>
      </c>
      <c r="E9">
        <v>164.89</v>
      </c>
      <c r="F9">
        <v>88</v>
      </c>
      <c r="G9">
        <v>-17.309999999999999</v>
      </c>
      <c r="H9">
        <v>0</v>
      </c>
      <c r="I9">
        <v>-23.65</v>
      </c>
      <c r="J9">
        <v>0</v>
      </c>
      <c r="K9">
        <v>0</v>
      </c>
      <c r="L9">
        <v>0</v>
      </c>
      <c r="M9">
        <f t="shared" si="0"/>
        <v>123.92999999999998</v>
      </c>
      <c r="N9" t="s">
        <v>49</v>
      </c>
      <c r="O9" t="s">
        <v>39</v>
      </c>
      <c r="P9">
        <v>0</v>
      </c>
      <c r="Q9" t="s">
        <v>51</v>
      </c>
      <c r="S9">
        <v>0</v>
      </c>
      <c r="T9">
        <v>23.65</v>
      </c>
    </row>
    <row r="10" spans="1:20" ht="15.75" x14ac:dyDescent="0.25">
      <c r="A10" t="s">
        <v>32</v>
      </c>
      <c r="B10" t="s">
        <v>33</v>
      </c>
      <c r="C10" t="s">
        <v>34</v>
      </c>
      <c r="D10">
        <v>1</v>
      </c>
      <c r="E10">
        <v>233.99</v>
      </c>
      <c r="F10">
        <v>134</v>
      </c>
      <c r="G10">
        <v>-39.78</v>
      </c>
      <c r="H10">
        <v>0</v>
      </c>
      <c r="I10">
        <v>-28.35</v>
      </c>
      <c r="J10">
        <v>0</v>
      </c>
      <c r="K10">
        <v>0</v>
      </c>
      <c r="L10">
        <v>0</v>
      </c>
      <c r="M10">
        <f t="shared" si="0"/>
        <v>165.86</v>
      </c>
      <c r="N10" t="s">
        <v>38</v>
      </c>
      <c r="O10" t="s">
        <v>52</v>
      </c>
      <c r="P10">
        <v>0</v>
      </c>
      <c r="Q10" t="s">
        <v>40</v>
      </c>
      <c r="S10">
        <v>0</v>
      </c>
      <c r="T10">
        <v>28.35</v>
      </c>
    </row>
    <row r="11" spans="1:20" ht="15.75" x14ac:dyDescent="0.25">
      <c r="A11" t="s">
        <v>32</v>
      </c>
      <c r="B11" t="s">
        <v>33</v>
      </c>
      <c r="C11" t="s">
        <v>34</v>
      </c>
      <c r="D11">
        <v>1</v>
      </c>
      <c r="E11">
        <v>167.8</v>
      </c>
      <c r="F11">
        <v>88</v>
      </c>
      <c r="G11">
        <v>-15.7</v>
      </c>
      <c r="H11">
        <v>0</v>
      </c>
      <c r="I11">
        <v>-23.65</v>
      </c>
      <c r="J11">
        <v>0</v>
      </c>
      <c r="K11">
        <v>0</v>
      </c>
      <c r="L11">
        <v>0</v>
      </c>
      <c r="M11">
        <f t="shared" si="0"/>
        <v>128.45000000000002</v>
      </c>
      <c r="N11" t="s">
        <v>49</v>
      </c>
      <c r="O11" t="s">
        <v>42</v>
      </c>
      <c r="P11">
        <v>0</v>
      </c>
      <c r="Q11" t="s">
        <v>50</v>
      </c>
      <c r="S11">
        <v>0</v>
      </c>
      <c r="T11">
        <v>23.65</v>
      </c>
    </row>
    <row r="12" spans="1:20" ht="15.75" x14ac:dyDescent="0.25">
      <c r="A12" t="s">
        <v>32</v>
      </c>
      <c r="B12" t="s">
        <v>33</v>
      </c>
      <c r="C12" t="s">
        <v>34</v>
      </c>
      <c r="D12">
        <v>1</v>
      </c>
      <c r="E12">
        <v>30.99</v>
      </c>
      <c r="F12">
        <v>15.2</v>
      </c>
      <c r="G12">
        <v>-4.38</v>
      </c>
      <c r="H12">
        <v>0</v>
      </c>
      <c r="I12">
        <v>-6.75</v>
      </c>
      <c r="J12">
        <v>0</v>
      </c>
      <c r="K12">
        <v>0</v>
      </c>
      <c r="L12">
        <v>0</v>
      </c>
      <c r="M12">
        <f t="shared" si="0"/>
        <v>19.86</v>
      </c>
      <c r="N12" t="s">
        <v>53</v>
      </c>
      <c r="O12" t="s">
        <v>39</v>
      </c>
      <c r="P12">
        <v>0</v>
      </c>
      <c r="Q12" t="s">
        <v>54</v>
      </c>
      <c r="S12">
        <v>0</v>
      </c>
      <c r="T12">
        <v>6.75</v>
      </c>
    </row>
    <row r="13" spans="1:20" ht="15.75" x14ac:dyDescent="0.25">
      <c r="A13" t="s">
        <v>32</v>
      </c>
      <c r="B13" t="s">
        <v>33</v>
      </c>
      <c r="C13" t="s">
        <v>34</v>
      </c>
      <c r="D13">
        <v>1</v>
      </c>
      <c r="E13">
        <v>169.99</v>
      </c>
      <c r="F13">
        <v>88</v>
      </c>
      <c r="G13">
        <v>-31.45</v>
      </c>
      <c r="H13">
        <v>0</v>
      </c>
      <c r="I13">
        <v>-27.75</v>
      </c>
      <c r="J13">
        <v>0</v>
      </c>
      <c r="K13">
        <v>0</v>
      </c>
      <c r="L13">
        <v>0</v>
      </c>
      <c r="M13">
        <f t="shared" si="0"/>
        <v>110.79000000000002</v>
      </c>
      <c r="N13" t="s">
        <v>55</v>
      </c>
      <c r="O13" t="s">
        <v>56</v>
      </c>
      <c r="P13">
        <v>0</v>
      </c>
      <c r="Q13" t="s">
        <v>57</v>
      </c>
      <c r="S13">
        <v>0</v>
      </c>
      <c r="T13">
        <v>27.75</v>
      </c>
    </row>
    <row r="14" spans="1:20" ht="15.75" x14ac:dyDescent="0.25">
      <c r="A14" t="s">
        <v>32</v>
      </c>
      <c r="B14" t="s">
        <v>33</v>
      </c>
      <c r="C14" t="s">
        <v>34</v>
      </c>
      <c r="D14">
        <v>1</v>
      </c>
      <c r="E14">
        <v>29.99</v>
      </c>
      <c r="F14">
        <v>13.5</v>
      </c>
      <c r="G14">
        <v>-4.3499999999999996</v>
      </c>
      <c r="H14">
        <v>0</v>
      </c>
      <c r="I14">
        <v>-6.75</v>
      </c>
      <c r="J14">
        <v>0</v>
      </c>
      <c r="K14">
        <v>0</v>
      </c>
      <c r="L14">
        <v>0</v>
      </c>
      <c r="M14">
        <f t="shared" si="0"/>
        <v>18.89</v>
      </c>
      <c r="N14" t="s">
        <v>44</v>
      </c>
      <c r="O14" t="s">
        <v>42</v>
      </c>
      <c r="P14">
        <v>0</v>
      </c>
      <c r="Q14" t="s">
        <v>46</v>
      </c>
      <c r="S14">
        <v>0</v>
      </c>
      <c r="T14">
        <v>6.75</v>
      </c>
    </row>
    <row r="15" spans="1:20" ht="15.75" x14ac:dyDescent="0.25">
      <c r="A15" t="s">
        <v>32</v>
      </c>
      <c r="B15" t="s">
        <v>33</v>
      </c>
      <c r="C15" t="s">
        <v>34</v>
      </c>
      <c r="D15">
        <v>1</v>
      </c>
      <c r="E15">
        <v>169.99</v>
      </c>
      <c r="F15">
        <v>88</v>
      </c>
      <c r="G15">
        <v>-31.45</v>
      </c>
      <c r="H15">
        <v>0</v>
      </c>
      <c r="I15">
        <v>-27.75</v>
      </c>
      <c r="J15">
        <v>0</v>
      </c>
      <c r="K15">
        <v>0</v>
      </c>
      <c r="L15">
        <v>0</v>
      </c>
      <c r="M15">
        <f t="shared" si="0"/>
        <v>110.79000000000002</v>
      </c>
      <c r="N15" t="s">
        <v>55</v>
      </c>
      <c r="O15" t="s">
        <v>39</v>
      </c>
      <c r="P15">
        <v>0</v>
      </c>
      <c r="Q15" t="s">
        <v>57</v>
      </c>
      <c r="S15">
        <v>0</v>
      </c>
      <c r="T15">
        <v>27.75</v>
      </c>
    </row>
    <row r="16" spans="1:20" ht="15.75" x14ac:dyDescent="0.25">
      <c r="A16" t="s">
        <v>32</v>
      </c>
      <c r="B16" t="s">
        <v>33</v>
      </c>
      <c r="C16" t="s">
        <v>34</v>
      </c>
      <c r="D16">
        <v>1</v>
      </c>
      <c r="E16">
        <v>233.99</v>
      </c>
      <c r="F16">
        <v>134</v>
      </c>
      <c r="G16">
        <v>-39.78</v>
      </c>
      <c r="H16">
        <v>0</v>
      </c>
      <c r="I16">
        <v>-28.35</v>
      </c>
      <c r="J16">
        <v>0</v>
      </c>
      <c r="K16">
        <v>0</v>
      </c>
      <c r="L16">
        <v>0</v>
      </c>
      <c r="M16">
        <f t="shared" si="0"/>
        <v>165.86</v>
      </c>
      <c r="N16" t="s">
        <v>38</v>
      </c>
      <c r="O16" t="s">
        <v>36</v>
      </c>
      <c r="P16">
        <v>0</v>
      </c>
      <c r="Q16" t="s">
        <v>40</v>
      </c>
      <c r="S16">
        <v>0</v>
      </c>
      <c r="T16">
        <v>28.35</v>
      </c>
    </row>
    <row r="17" spans="1:20" ht="15.75" x14ac:dyDescent="0.25">
      <c r="A17" t="s">
        <v>32</v>
      </c>
      <c r="B17" t="s">
        <v>33</v>
      </c>
      <c r="C17" t="s">
        <v>34</v>
      </c>
      <c r="D17">
        <v>1</v>
      </c>
      <c r="E17">
        <v>169.99</v>
      </c>
      <c r="F17">
        <v>88</v>
      </c>
      <c r="G17">
        <v>-31.45</v>
      </c>
      <c r="H17">
        <v>0</v>
      </c>
      <c r="I17">
        <v>-27.75</v>
      </c>
      <c r="J17">
        <v>0</v>
      </c>
      <c r="K17">
        <v>0</v>
      </c>
      <c r="L17">
        <v>0</v>
      </c>
      <c r="M17">
        <f t="shared" si="0"/>
        <v>110.79000000000002</v>
      </c>
      <c r="N17" t="s">
        <v>55</v>
      </c>
      <c r="O17" t="s">
        <v>39</v>
      </c>
      <c r="P17">
        <v>0</v>
      </c>
      <c r="Q17" t="s">
        <v>57</v>
      </c>
      <c r="S17">
        <v>0</v>
      </c>
      <c r="T17">
        <v>27.75</v>
      </c>
    </row>
    <row r="18" spans="1:20" ht="15.75" x14ac:dyDescent="0.25">
      <c r="A18" t="s">
        <v>32</v>
      </c>
      <c r="B18" t="s">
        <v>33</v>
      </c>
      <c r="C18" t="s">
        <v>34</v>
      </c>
      <c r="D18">
        <v>1</v>
      </c>
      <c r="E18">
        <v>28.99</v>
      </c>
      <c r="F18">
        <v>12.7</v>
      </c>
      <c r="G18">
        <v>-4.37</v>
      </c>
      <c r="H18">
        <v>0</v>
      </c>
      <c r="I18">
        <v>-6.65</v>
      </c>
      <c r="J18">
        <v>0</v>
      </c>
      <c r="K18">
        <v>0</v>
      </c>
      <c r="L18">
        <v>0</v>
      </c>
      <c r="M18">
        <f t="shared" si="0"/>
        <v>17.97</v>
      </c>
      <c r="N18" t="s">
        <v>58</v>
      </c>
      <c r="O18" t="s">
        <v>56</v>
      </c>
      <c r="P18">
        <v>0</v>
      </c>
      <c r="Q18" t="s">
        <v>59</v>
      </c>
      <c r="S18">
        <v>0</v>
      </c>
      <c r="T18">
        <v>6.65</v>
      </c>
    </row>
    <row r="19" spans="1:20" ht="15.75" x14ac:dyDescent="0.25">
      <c r="A19" t="s">
        <v>32</v>
      </c>
      <c r="B19" t="s">
        <v>33</v>
      </c>
      <c r="C19" t="s">
        <v>34</v>
      </c>
      <c r="D19">
        <v>1</v>
      </c>
      <c r="E19">
        <v>281.99</v>
      </c>
      <c r="F19">
        <v>160</v>
      </c>
      <c r="G19">
        <v>-53.58</v>
      </c>
      <c r="H19">
        <v>0</v>
      </c>
      <c r="I19">
        <v>-30.75</v>
      </c>
      <c r="J19">
        <v>0</v>
      </c>
      <c r="K19">
        <v>0</v>
      </c>
      <c r="L19">
        <v>0</v>
      </c>
      <c r="M19">
        <f t="shared" si="0"/>
        <v>197.66000000000003</v>
      </c>
      <c r="N19" t="s">
        <v>35</v>
      </c>
      <c r="O19" t="s">
        <v>45</v>
      </c>
      <c r="P19">
        <v>0</v>
      </c>
      <c r="Q19" t="s">
        <v>37</v>
      </c>
      <c r="S19">
        <v>0</v>
      </c>
      <c r="T19">
        <v>30.75</v>
      </c>
    </row>
    <row r="20" spans="1:20" ht="15.75" x14ac:dyDescent="0.25">
      <c r="A20" t="s">
        <v>32</v>
      </c>
      <c r="B20" t="s">
        <v>33</v>
      </c>
      <c r="C20" t="s">
        <v>34</v>
      </c>
      <c r="D20">
        <v>1</v>
      </c>
      <c r="E20">
        <v>233.99</v>
      </c>
      <c r="F20">
        <v>134</v>
      </c>
      <c r="G20">
        <v>-39.78</v>
      </c>
      <c r="H20">
        <v>0</v>
      </c>
      <c r="I20">
        <v>-28.35</v>
      </c>
      <c r="J20">
        <v>0</v>
      </c>
      <c r="K20">
        <v>0</v>
      </c>
      <c r="L20">
        <v>0</v>
      </c>
      <c r="M20">
        <f t="shared" si="0"/>
        <v>165.86</v>
      </c>
      <c r="N20" t="s">
        <v>38</v>
      </c>
      <c r="O20" t="s">
        <v>39</v>
      </c>
      <c r="P20">
        <v>0</v>
      </c>
      <c r="Q20" t="s">
        <v>40</v>
      </c>
      <c r="S20">
        <v>0</v>
      </c>
      <c r="T20">
        <v>28.35</v>
      </c>
    </row>
    <row r="21" spans="1:20" ht="15.75" x14ac:dyDescent="0.25">
      <c r="A21" t="s">
        <v>32</v>
      </c>
      <c r="B21" t="s">
        <v>33</v>
      </c>
      <c r="C21" t="s">
        <v>34</v>
      </c>
      <c r="D21">
        <v>1</v>
      </c>
      <c r="E21">
        <v>30.99</v>
      </c>
      <c r="F21">
        <v>15.2</v>
      </c>
      <c r="G21">
        <v>-4.38</v>
      </c>
      <c r="H21">
        <v>0</v>
      </c>
      <c r="I21">
        <v>-6.75</v>
      </c>
      <c r="J21">
        <v>0</v>
      </c>
      <c r="K21">
        <v>0</v>
      </c>
      <c r="L21">
        <v>0</v>
      </c>
      <c r="M21">
        <f t="shared" si="0"/>
        <v>19.86</v>
      </c>
      <c r="N21" t="s">
        <v>53</v>
      </c>
      <c r="O21" t="s">
        <v>39</v>
      </c>
      <c r="P21">
        <v>0</v>
      </c>
      <c r="Q21" t="s">
        <v>54</v>
      </c>
      <c r="S21">
        <v>0</v>
      </c>
      <c r="T21">
        <v>6.75</v>
      </c>
    </row>
    <row r="22" spans="1:20" ht="15.75" x14ac:dyDescent="0.25">
      <c r="A22" t="s">
        <v>32</v>
      </c>
      <c r="B22" t="s">
        <v>33</v>
      </c>
      <c r="C22" t="s">
        <v>34</v>
      </c>
      <c r="D22">
        <v>1</v>
      </c>
      <c r="E22">
        <v>281.99</v>
      </c>
      <c r="F22">
        <v>160</v>
      </c>
      <c r="G22">
        <v>-53.58</v>
      </c>
      <c r="H22">
        <v>0</v>
      </c>
      <c r="I22">
        <v>-30.75</v>
      </c>
      <c r="J22">
        <v>0</v>
      </c>
      <c r="K22">
        <v>0</v>
      </c>
      <c r="L22">
        <v>0</v>
      </c>
      <c r="M22">
        <f t="shared" si="0"/>
        <v>197.66000000000003</v>
      </c>
      <c r="N22" t="s">
        <v>35</v>
      </c>
      <c r="O22" t="s">
        <v>39</v>
      </c>
      <c r="P22">
        <v>0</v>
      </c>
      <c r="Q22" t="s">
        <v>37</v>
      </c>
      <c r="S22">
        <v>0</v>
      </c>
      <c r="T22">
        <v>30.75</v>
      </c>
    </row>
    <row r="23" spans="1:20" ht="15.75" x14ac:dyDescent="0.25">
      <c r="A23" t="s">
        <v>32</v>
      </c>
      <c r="B23" t="s">
        <v>33</v>
      </c>
      <c r="C23" t="s">
        <v>34</v>
      </c>
      <c r="D23">
        <v>1</v>
      </c>
      <c r="E23">
        <v>28.99</v>
      </c>
      <c r="F23">
        <v>12.7</v>
      </c>
      <c r="G23">
        <v>-4.37</v>
      </c>
      <c r="H23">
        <v>0</v>
      </c>
      <c r="I23">
        <v>-6.65</v>
      </c>
      <c r="J23">
        <v>0</v>
      </c>
      <c r="K23">
        <v>0</v>
      </c>
      <c r="L23">
        <v>0</v>
      </c>
      <c r="M23">
        <f t="shared" si="0"/>
        <v>17.97</v>
      </c>
      <c r="N23" t="s">
        <v>58</v>
      </c>
      <c r="O23" t="s">
        <v>60</v>
      </c>
      <c r="P23">
        <v>0</v>
      </c>
      <c r="Q23" t="s">
        <v>59</v>
      </c>
      <c r="S23">
        <v>0</v>
      </c>
      <c r="T23">
        <v>6.65</v>
      </c>
    </row>
    <row r="24" spans="1:20" ht="15.75" x14ac:dyDescent="0.25">
      <c r="A24" t="s">
        <v>32</v>
      </c>
      <c r="B24" t="s">
        <v>33</v>
      </c>
      <c r="C24" t="s">
        <v>34</v>
      </c>
      <c r="D24">
        <v>1</v>
      </c>
      <c r="E24">
        <v>233.99</v>
      </c>
      <c r="F24">
        <v>134</v>
      </c>
      <c r="G24">
        <v>-39.78</v>
      </c>
      <c r="H24">
        <v>0</v>
      </c>
      <c r="I24">
        <v>-28.35</v>
      </c>
      <c r="J24">
        <v>0</v>
      </c>
      <c r="K24">
        <v>0</v>
      </c>
      <c r="L24">
        <v>0</v>
      </c>
      <c r="M24">
        <f t="shared" si="0"/>
        <v>165.86</v>
      </c>
      <c r="N24" t="s">
        <v>38</v>
      </c>
      <c r="O24" t="s">
        <v>39</v>
      </c>
      <c r="P24">
        <v>0</v>
      </c>
      <c r="Q24" t="s">
        <v>40</v>
      </c>
      <c r="S24">
        <v>0</v>
      </c>
      <c r="T24">
        <v>28.35</v>
      </c>
    </row>
    <row r="25" spans="1:20" ht="15.75" x14ac:dyDescent="0.25">
      <c r="A25" t="s">
        <v>32</v>
      </c>
      <c r="B25" t="s">
        <v>33</v>
      </c>
      <c r="C25" t="s">
        <v>34</v>
      </c>
      <c r="D25">
        <v>1</v>
      </c>
      <c r="E25">
        <v>293.99</v>
      </c>
      <c r="F25">
        <v>160</v>
      </c>
      <c r="G25">
        <v>-55.86</v>
      </c>
      <c r="H25">
        <v>0</v>
      </c>
      <c r="I25">
        <v>-30.75</v>
      </c>
      <c r="J25">
        <v>0</v>
      </c>
      <c r="K25">
        <v>0</v>
      </c>
      <c r="L25">
        <v>0</v>
      </c>
      <c r="M25">
        <f t="shared" si="0"/>
        <v>207.38</v>
      </c>
      <c r="N25" t="s">
        <v>35</v>
      </c>
      <c r="O25" t="s">
        <v>61</v>
      </c>
      <c r="P25">
        <v>0</v>
      </c>
      <c r="Q25" t="s">
        <v>62</v>
      </c>
      <c r="S25">
        <v>0</v>
      </c>
      <c r="T25">
        <v>30.75</v>
      </c>
    </row>
    <row r="26" spans="1:20" ht="15.75" x14ac:dyDescent="0.25">
      <c r="A26" t="s">
        <v>32</v>
      </c>
      <c r="B26" t="s">
        <v>33</v>
      </c>
      <c r="C26" t="s">
        <v>34</v>
      </c>
      <c r="D26">
        <v>1</v>
      </c>
      <c r="E26">
        <v>208.98</v>
      </c>
      <c r="F26">
        <v>88</v>
      </c>
      <c r="G26">
        <v>-31.45</v>
      </c>
      <c r="H26">
        <v>38.99</v>
      </c>
      <c r="I26">
        <v>-27.75</v>
      </c>
      <c r="J26">
        <v>0</v>
      </c>
      <c r="K26">
        <v>0</v>
      </c>
      <c r="L26">
        <v>0</v>
      </c>
      <c r="M26">
        <f t="shared" si="0"/>
        <v>188.77</v>
      </c>
      <c r="N26" t="s">
        <v>55</v>
      </c>
      <c r="O26" t="s">
        <v>36</v>
      </c>
      <c r="P26">
        <v>0</v>
      </c>
      <c r="Q26" t="s">
        <v>57</v>
      </c>
      <c r="S26">
        <v>38.99</v>
      </c>
      <c r="T26">
        <v>27.75</v>
      </c>
    </row>
    <row r="27" spans="1:20" ht="15.75" x14ac:dyDescent="0.25">
      <c r="A27" t="s">
        <v>32</v>
      </c>
      <c r="B27" t="s">
        <v>63</v>
      </c>
      <c r="C27" t="s">
        <v>34</v>
      </c>
      <c r="D27">
        <v>1</v>
      </c>
      <c r="E27">
        <v>169.99</v>
      </c>
      <c r="F27">
        <v>88</v>
      </c>
      <c r="G27">
        <v>-31.45</v>
      </c>
      <c r="H27">
        <v>0</v>
      </c>
      <c r="I27">
        <v>-27.75</v>
      </c>
      <c r="J27">
        <v>0</v>
      </c>
      <c r="K27">
        <v>0</v>
      </c>
      <c r="L27">
        <v>0</v>
      </c>
      <c r="M27">
        <f t="shared" si="0"/>
        <v>110.79000000000002</v>
      </c>
      <c r="N27" t="s">
        <v>55</v>
      </c>
      <c r="O27" t="s">
        <v>64</v>
      </c>
      <c r="P27">
        <v>0</v>
      </c>
      <c r="Q27" t="s">
        <v>57</v>
      </c>
      <c r="S27">
        <v>0</v>
      </c>
      <c r="T27">
        <v>27.75</v>
      </c>
    </row>
    <row r="28" spans="1:20" ht="15.75" x14ac:dyDescent="0.25">
      <c r="A28" t="s">
        <v>32</v>
      </c>
      <c r="B28" t="s">
        <v>63</v>
      </c>
      <c r="C28" t="s">
        <v>34</v>
      </c>
      <c r="D28">
        <v>1</v>
      </c>
      <c r="E28">
        <v>294.99</v>
      </c>
      <c r="F28">
        <v>160</v>
      </c>
      <c r="G28">
        <v>-56.05</v>
      </c>
      <c r="H28">
        <v>0</v>
      </c>
      <c r="I28">
        <v>-30.75</v>
      </c>
      <c r="J28">
        <v>0</v>
      </c>
      <c r="K28">
        <v>0</v>
      </c>
      <c r="L28">
        <v>0</v>
      </c>
      <c r="M28">
        <f t="shared" si="0"/>
        <v>208.19</v>
      </c>
      <c r="N28" t="s">
        <v>41</v>
      </c>
      <c r="O28" t="s">
        <v>45</v>
      </c>
      <c r="P28">
        <v>0</v>
      </c>
      <c r="Q28" t="s">
        <v>65</v>
      </c>
      <c r="S28">
        <v>0</v>
      </c>
      <c r="T28">
        <v>30.75</v>
      </c>
    </row>
    <row r="29" spans="1:20" ht="15.75" x14ac:dyDescent="0.25">
      <c r="A29" t="s">
        <v>32</v>
      </c>
      <c r="B29" t="s">
        <v>63</v>
      </c>
      <c r="C29" t="s">
        <v>34</v>
      </c>
      <c r="D29">
        <v>1</v>
      </c>
      <c r="E29">
        <v>28.99</v>
      </c>
      <c r="F29">
        <v>12.7</v>
      </c>
      <c r="G29">
        <v>-4.22</v>
      </c>
      <c r="H29">
        <v>0</v>
      </c>
      <c r="I29">
        <v>-6.75</v>
      </c>
      <c r="J29">
        <v>0</v>
      </c>
      <c r="K29">
        <v>0</v>
      </c>
      <c r="L29">
        <v>0</v>
      </c>
      <c r="M29">
        <f t="shared" si="0"/>
        <v>18.02</v>
      </c>
      <c r="N29" t="s">
        <v>66</v>
      </c>
      <c r="O29" t="s">
        <v>45</v>
      </c>
      <c r="P29">
        <v>0</v>
      </c>
      <c r="Q29" t="s">
        <v>67</v>
      </c>
      <c r="S29">
        <v>0</v>
      </c>
      <c r="T29">
        <v>6.75</v>
      </c>
    </row>
    <row r="30" spans="1:20" ht="15.75" x14ac:dyDescent="0.25">
      <c r="A30" t="s">
        <v>32</v>
      </c>
      <c r="B30" t="s">
        <v>63</v>
      </c>
      <c r="C30" t="s">
        <v>34</v>
      </c>
      <c r="D30">
        <v>1</v>
      </c>
      <c r="E30">
        <v>293.99</v>
      </c>
      <c r="F30">
        <v>160</v>
      </c>
      <c r="G30">
        <v>-55.86</v>
      </c>
      <c r="H30">
        <v>0</v>
      </c>
      <c r="I30">
        <v>-30.75</v>
      </c>
      <c r="J30">
        <v>0</v>
      </c>
      <c r="K30">
        <v>0</v>
      </c>
      <c r="L30">
        <v>0</v>
      </c>
      <c r="M30">
        <f t="shared" si="0"/>
        <v>207.38</v>
      </c>
      <c r="N30" t="s">
        <v>35</v>
      </c>
      <c r="O30" t="s">
        <v>60</v>
      </c>
      <c r="P30">
        <v>0</v>
      </c>
      <c r="Q30" t="s">
        <v>62</v>
      </c>
      <c r="S30">
        <v>0</v>
      </c>
      <c r="T30">
        <v>30.75</v>
      </c>
    </row>
  </sheetData>
  <pageMargins left="0.511811024" right="0.511811024" top="0.78740157499999996" bottom="0.78740157499999996" header="0.31496062000000002" footer="0.31496062000000002"/>
  <ignoredErrors>
    <ignoredError sqref="A1:T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5" x14ac:dyDescent="0.25"/>
  <sheetData>
    <row r="1" spans="1:1" ht="15.75" x14ac:dyDescent="0.25">
      <c r="A1" t="s">
        <v>20</v>
      </c>
    </row>
    <row r="2" spans="1:1" ht="15.75" x14ac:dyDescent="0.25">
      <c r="A2" t="s">
        <v>21</v>
      </c>
    </row>
    <row r="3" spans="1:1" ht="15.75" x14ac:dyDescent="0.25">
      <c r="A3" t="s">
        <v>22</v>
      </c>
    </row>
    <row r="4" spans="1:1" ht="15.75" x14ac:dyDescent="0.25">
      <c r="A4" t="s">
        <v>23</v>
      </c>
    </row>
    <row r="5" spans="1:1" ht="15.75" x14ac:dyDescent="0.25">
      <c r="A5" t="s">
        <v>24</v>
      </c>
    </row>
    <row r="6" spans="1:1" ht="15.75" x14ac:dyDescent="0.25">
      <c r="A6" t="s">
        <v>25</v>
      </c>
    </row>
    <row r="7" spans="1:1" ht="15.75" x14ac:dyDescent="0.25">
      <c r="A7" t="s">
        <v>26</v>
      </c>
    </row>
    <row r="8" spans="1:1" ht="15.75" x14ac:dyDescent="0.25">
      <c r="A8" t="s">
        <v>27</v>
      </c>
    </row>
    <row r="9" spans="1:1" ht="15.75" x14ac:dyDescent="0.25">
      <c r="A9" t="s">
        <v>28</v>
      </c>
    </row>
    <row r="10" spans="1:1" ht="15.75" x14ac:dyDescent="0.25">
      <c r="A10" t="s">
        <v>29</v>
      </c>
    </row>
    <row r="11" spans="1:1" ht="15.75" x14ac:dyDescent="0.25">
      <c r="A11" t="s">
        <v>30</v>
      </c>
    </row>
    <row r="12" spans="1:1" ht="15.75" x14ac:dyDescent="0.25">
      <c r="A12" t="s">
        <v>31</v>
      </c>
    </row>
  </sheetData>
  <pageMargins left="0.511811024" right="0.511811024" top="0.78740157499999996" bottom="0.78740157499999996" header="0.31496062000000002" footer="0.31496062000000002"/>
  <ignoredErrors>
    <ignoredError sqref="A1: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 Reorganizado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CUNHA</dc:creator>
  <cp:lastModifiedBy>ELIEZER CUNHA</cp:lastModifiedBy>
  <dcterms:created xsi:type="dcterms:W3CDTF">2026-08-04T18:34:26Z</dcterms:created>
  <dcterms:modified xsi:type="dcterms:W3CDTF">2026-08-04T18:34:26Z</dcterms:modified>
</cp:coreProperties>
</file>